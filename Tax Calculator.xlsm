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madeusworkplace-my.sharepoint.com/personal/vasantha_dalli_amadeus_com/Documents/Mystuff/"/>
    </mc:Choice>
  </mc:AlternateContent>
  <xr:revisionPtr revIDLastSave="103" documentId="8_{0F04818A-B79E-4186-B423-802B01C95269}" xr6:coauthVersionLast="47" xr6:coauthVersionMax="47" xr10:uidLastSave="{1AD759DF-A84F-44BE-AC0F-FCD368528377}"/>
  <bookViews>
    <workbookView xWindow="-108" yWindow="-108" windowWidth="23256" windowHeight="12576" activeTab="1" xr2:uid="{AE2B9630-8184-4635-A9DB-1C1AE85FA4AB}"/>
  </bookViews>
  <sheets>
    <sheet name="Tax calculator" sheetId="2" r:id="rId1"/>
    <sheet name="Sheet1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0" i="2" l="1"/>
  <c r="L11" i="2"/>
  <c r="L9" i="2"/>
  <c r="K5" i="2"/>
  <c r="K4" i="2"/>
  <c r="K3" i="2"/>
  <c r="E8" i="2"/>
  <c r="E19" i="2"/>
  <c r="E18" i="2"/>
  <c r="E16" i="2"/>
  <c r="E15" i="2"/>
  <c r="E14" i="2"/>
  <c r="E4" i="2"/>
  <c r="E5" i="2"/>
  <c r="E6" i="2"/>
  <c r="E7" i="2"/>
  <c r="E3" i="2"/>
  <c r="H10" i="2" l="1"/>
  <c r="D17" i="2" s="1"/>
  <c r="E17" i="2" s="1"/>
  <c r="E20" i="2" s="1"/>
  <c r="E10" i="2"/>
  <c r="H17" i="2" l="1"/>
</calcChain>
</file>

<file path=xl/sharedStrings.xml><?xml version="1.0" encoding="utf-8"?>
<sst xmlns="http://schemas.openxmlformats.org/spreadsheetml/2006/main" count="30" uniqueCount="29">
  <si>
    <t>0-3l</t>
  </si>
  <si>
    <t>3l-6l</t>
  </si>
  <si>
    <t>6-9l</t>
  </si>
  <si>
    <t>9-12l</t>
  </si>
  <si>
    <t>12-15l</t>
  </si>
  <si>
    <t>15+</t>
  </si>
  <si>
    <t>New Regime</t>
  </si>
  <si>
    <t>0-2.5</t>
  </si>
  <si>
    <t>2.5l-5l</t>
  </si>
  <si>
    <t>5-10l</t>
  </si>
  <si>
    <t>10+</t>
  </si>
  <si>
    <t>80C</t>
  </si>
  <si>
    <t>NPS</t>
  </si>
  <si>
    <t>Old Regime</t>
  </si>
  <si>
    <t>Interest</t>
  </si>
  <si>
    <t>HRA</t>
  </si>
  <si>
    <t>50% of basic</t>
  </si>
  <si>
    <t>Actual HRA offered</t>
  </si>
  <si>
    <t>actual rent paid-(10% of basic)</t>
  </si>
  <si>
    <t>education cess-4%</t>
  </si>
  <si>
    <t>Mobile and internet</t>
  </si>
  <si>
    <t>Car</t>
  </si>
  <si>
    <t>Rebate</t>
  </si>
  <si>
    <t>HRA components</t>
  </si>
  <si>
    <t>Monthly Rent paid</t>
  </si>
  <si>
    <t>Basic salary per Month</t>
  </si>
  <si>
    <t>Actual HRA offered per Month</t>
  </si>
  <si>
    <t>Doubts</t>
  </si>
  <si>
    <t>Home Loan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</si>
</sst>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1524000</xdr:colOff>
          <xdr:row>19</xdr:row>
          <xdr:rowOff>99060</xdr:rowOff>
        </xdr:from>
        <xdr:to>
          <xdr:col>11</xdr:col>
          <xdr:colOff>0</xdr:colOff>
          <xdr:row>23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HRA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02A8A-C32A-4322-8141-A45E6848F379}">
  <sheetPr codeName="Sheet1"/>
  <dimension ref="A1:L20"/>
  <sheetViews>
    <sheetView workbookViewId="0">
      <selection activeCell="G22" sqref="G22"/>
    </sheetView>
  </sheetViews>
  <sheetFormatPr defaultRowHeight="14.4" x14ac:dyDescent="0.3"/>
  <cols>
    <col min="1" max="1" width="30.33203125" customWidth="1"/>
    <col min="3" max="3" width="16.21875" bestFit="1" customWidth="1"/>
    <col min="5" max="5" width="8" bestFit="1" customWidth="1"/>
    <col min="7" max="7" width="19" customWidth="1"/>
    <col min="8" max="8" width="14.109375" customWidth="1"/>
    <col min="9" max="9" width="5.109375" customWidth="1"/>
    <col min="10" max="10" width="26.21875" customWidth="1"/>
    <col min="11" max="11" width="14.109375" customWidth="1"/>
  </cols>
  <sheetData>
    <row r="1" spans="1:12" x14ac:dyDescent="0.3">
      <c r="A1" s="2" t="s">
        <v>6</v>
      </c>
      <c r="B1" s="2"/>
      <c r="C1" s="2"/>
      <c r="D1" s="2"/>
      <c r="E1" s="2"/>
      <c r="G1" t="s">
        <v>22</v>
      </c>
      <c r="J1" t="s">
        <v>15</v>
      </c>
    </row>
    <row r="2" spans="1:12" x14ac:dyDescent="0.3">
      <c r="C2" t="s">
        <v>19</v>
      </c>
    </row>
    <row r="3" spans="1:12" x14ac:dyDescent="0.3">
      <c r="A3" t="s">
        <v>0</v>
      </c>
      <c r="B3">
        <v>0</v>
      </c>
      <c r="C3">
        <v>1.04E-2</v>
      </c>
      <c r="D3">
        <v>300000</v>
      </c>
      <c r="E3">
        <f>B3*C3*D3</f>
        <v>0</v>
      </c>
      <c r="G3" t="s">
        <v>11</v>
      </c>
      <c r="H3">
        <v>150000</v>
      </c>
      <c r="J3" t="s">
        <v>16</v>
      </c>
      <c r="K3">
        <f>0.5*K9*12</f>
        <v>262230</v>
      </c>
    </row>
    <row r="4" spans="1:12" x14ac:dyDescent="0.3">
      <c r="A4" t="s">
        <v>1</v>
      </c>
      <c r="B4">
        <v>5</v>
      </c>
      <c r="C4">
        <v>1.04E-2</v>
      </c>
      <c r="D4">
        <v>300000</v>
      </c>
      <c r="E4">
        <f t="shared" ref="E4:E8" si="0">B4*C4*D4</f>
        <v>15600</v>
      </c>
      <c r="G4" t="s">
        <v>12</v>
      </c>
      <c r="H4">
        <v>50000</v>
      </c>
      <c r="J4" t="s">
        <v>17</v>
      </c>
      <c r="K4">
        <f>K10*12</f>
        <v>209784</v>
      </c>
    </row>
    <row r="5" spans="1:12" x14ac:dyDescent="0.3">
      <c r="A5" s="1" t="s">
        <v>2</v>
      </c>
      <c r="B5">
        <v>10</v>
      </c>
      <c r="C5">
        <v>1.04E-2</v>
      </c>
      <c r="D5">
        <v>300000</v>
      </c>
      <c r="E5">
        <f t="shared" si="0"/>
        <v>31200</v>
      </c>
      <c r="G5" t="s">
        <v>14</v>
      </c>
      <c r="H5">
        <v>168950</v>
      </c>
      <c r="J5" t="s">
        <v>18</v>
      </c>
      <c r="K5">
        <f>(K11*12)-(0.1*K9*12)</f>
        <v>139554</v>
      </c>
    </row>
    <row r="6" spans="1:12" ht="15" thickBot="1" x14ac:dyDescent="0.35">
      <c r="A6" t="s">
        <v>3</v>
      </c>
      <c r="B6">
        <v>15</v>
      </c>
      <c r="C6">
        <v>1.04E-2</v>
      </c>
      <c r="D6">
        <v>300000</v>
      </c>
      <c r="E6">
        <f t="shared" si="0"/>
        <v>46800</v>
      </c>
      <c r="G6" t="s">
        <v>15</v>
      </c>
      <c r="H6">
        <v>21852.5</v>
      </c>
    </row>
    <row r="7" spans="1:12" x14ac:dyDescent="0.3">
      <c r="A7" t="s">
        <v>4</v>
      </c>
      <c r="B7">
        <v>20</v>
      </c>
      <c r="C7">
        <v>1.04E-2</v>
      </c>
      <c r="D7">
        <v>300000</v>
      </c>
      <c r="E7">
        <f t="shared" si="0"/>
        <v>62400</v>
      </c>
      <c r="G7" t="s">
        <v>20</v>
      </c>
      <c r="J7" s="3" t="s">
        <v>23</v>
      </c>
      <c r="K7" s="4"/>
    </row>
    <row r="8" spans="1:12" x14ac:dyDescent="0.3">
      <c r="A8" t="s">
        <v>5</v>
      </c>
      <c r="B8">
        <v>30</v>
      </c>
      <c r="C8">
        <v>1.04E-2</v>
      </c>
      <c r="D8">
        <v>279614</v>
      </c>
      <c r="E8">
        <f t="shared" si="0"/>
        <v>87239.567999999999</v>
      </c>
      <c r="G8" t="s">
        <v>21</v>
      </c>
      <c r="J8" s="5"/>
      <c r="K8" s="6"/>
    </row>
    <row r="9" spans="1:12" x14ac:dyDescent="0.3">
      <c r="J9" s="5" t="s">
        <v>25</v>
      </c>
      <c r="K9" s="6">
        <v>43705</v>
      </c>
      <c r="L9">
        <f>K9*12</f>
        <v>524460</v>
      </c>
    </row>
    <row r="10" spans="1:12" x14ac:dyDescent="0.3">
      <c r="E10">
        <f>SUM(E3:E8)</f>
        <v>243239.568</v>
      </c>
      <c r="H10">
        <f>SUM(H3:H9)</f>
        <v>390802.5</v>
      </c>
      <c r="J10" s="5" t="s">
        <v>26</v>
      </c>
      <c r="K10" s="6">
        <v>17482</v>
      </c>
      <c r="L10">
        <f t="shared" ref="L10:L11" si="1">K10*12</f>
        <v>209784</v>
      </c>
    </row>
    <row r="11" spans="1:12" ht="15" thickBot="1" x14ac:dyDescent="0.35">
      <c r="J11" s="7" t="s">
        <v>24</v>
      </c>
      <c r="K11" s="8">
        <v>16000</v>
      </c>
      <c r="L11">
        <f t="shared" si="1"/>
        <v>192000</v>
      </c>
    </row>
    <row r="12" spans="1:12" x14ac:dyDescent="0.3">
      <c r="A12" s="2" t="s">
        <v>13</v>
      </c>
      <c r="B12" s="2"/>
      <c r="C12" s="2"/>
      <c r="D12" s="2"/>
      <c r="E12" s="2"/>
    </row>
    <row r="14" spans="1:12" x14ac:dyDescent="0.3">
      <c r="A14" t="s">
        <v>7</v>
      </c>
      <c r="B14">
        <v>0</v>
      </c>
      <c r="C14">
        <v>1.04E-2</v>
      </c>
      <c r="D14">
        <v>250000</v>
      </c>
      <c r="E14">
        <f>B14*C14*D14</f>
        <v>0</v>
      </c>
    </row>
    <row r="15" spans="1:12" x14ac:dyDescent="0.3">
      <c r="A15" t="s">
        <v>8</v>
      </c>
      <c r="B15">
        <v>5</v>
      </c>
      <c r="C15">
        <v>1.04E-2</v>
      </c>
      <c r="D15">
        <v>250000</v>
      </c>
      <c r="E15">
        <f t="shared" ref="E15:E19" si="2">B15*C15*D15</f>
        <v>13000</v>
      </c>
    </row>
    <row r="16" spans="1:12" x14ac:dyDescent="0.3">
      <c r="A16" s="1" t="s">
        <v>9</v>
      </c>
      <c r="B16">
        <v>20</v>
      </c>
      <c r="C16">
        <v>1.04E-2</v>
      </c>
      <c r="D16">
        <v>500000</v>
      </c>
      <c r="E16">
        <f t="shared" si="2"/>
        <v>104000</v>
      </c>
    </row>
    <row r="17" spans="1:8" x14ac:dyDescent="0.3">
      <c r="A17" t="s">
        <v>10</v>
      </c>
      <c r="B17">
        <v>30</v>
      </c>
      <c r="C17">
        <v>1.04E-2</v>
      </c>
      <c r="D17">
        <f>779614-H10</f>
        <v>388811.5</v>
      </c>
      <c r="E17">
        <f t="shared" si="2"/>
        <v>121309.18799999999</v>
      </c>
      <c r="H17">
        <f>E10-E20</f>
        <v>4930.3800000000047</v>
      </c>
    </row>
    <row r="18" spans="1:8" x14ac:dyDescent="0.3">
      <c r="E18">
        <f t="shared" si="2"/>
        <v>0</v>
      </c>
    </row>
    <row r="19" spans="1:8" x14ac:dyDescent="0.3">
      <c r="E19">
        <f t="shared" si="2"/>
        <v>0</v>
      </c>
    </row>
    <row r="20" spans="1:8" x14ac:dyDescent="0.3">
      <c r="E20">
        <f>SUM(E14:E17)</f>
        <v>238309.18799999999</v>
      </c>
    </row>
  </sheetData>
  <mergeCells count="3">
    <mergeCell ref="A1:E1"/>
    <mergeCell ref="A12:E12"/>
    <mergeCell ref="J7:K7"/>
  </mergeCells>
  <pageMargins left="0.7" right="0.7" top="0.75" bottom="0.75" header="0.3" footer="0.3"/>
  <pageSetup paperSize="9" orientation="portrait" r:id="rId1"/>
  <headerFooter>
    <oddHeader>&amp;R&amp;"Calibri"&amp;12&amp;KFF8C00CONFIDENTIAL &amp; RESTRICTED&amp;1#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eTax">
                <anchor moveWithCells="1" sizeWithCells="1">
                  <from>
                    <xdr:col>9</xdr:col>
                    <xdr:colOff>1524000</xdr:colOff>
                    <xdr:row>19</xdr:row>
                    <xdr:rowOff>99060</xdr:rowOff>
                  </from>
                  <to>
                    <xdr:col>11</xdr:col>
                    <xdr:colOff>0</xdr:colOff>
                    <xdr:row>23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4F4C5-8145-4D1B-B4D0-7163D4D80602}">
  <sheetPr codeName="Sheet2"/>
  <dimension ref="A1:A3"/>
  <sheetViews>
    <sheetView tabSelected="1" workbookViewId="0">
      <selection sqref="A1:A1048576"/>
    </sheetView>
  </sheetViews>
  <sheetFormatPr defaultRowHeight="14.4" x14ac:dyDescent="0.3"/>
  <cols>
    <col min="1" max="1" width="70.44140625" customWidth="1"/>
  </cols>
  <sheetData>
    <row r="1" spans="1:1" x14ac:dyDescent="0.3">
      <c r="A1" t="s">
        <v>27</v>
      </c>
    </row>
    <row r="3" spans="1:1" x14ac:dyDescent="0.3">
      <c r="A3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Tax calculator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Vasantha DALLI</dc:creator>
  <cp:lastModifiedBy>Vasantha DALLI</cp:lastModifiedBy>
  <dcterms:created xsi:type="dcterms:W3CDTF">2022-12-27T06:47:54Z</dcterms:created>
  <dcterms:modified xsi:type="dcterms:W3CDTF">2023-05-03T17:27:13Z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2db9220-a04a-4f06-aab9-80cbe5287fb3_Enabled">
    <vt:lpwstr>true</vt:lpwstr>
  </property>
  <property fmtid="{D5CDD505-2E9C-101B-9397-08002B2CF9AE}" pid="3" name="MSIP_Label_d2db9220-a04a-4f06-aab9-80cbe5287fb3_SetDate">
    <vt:lpwstr>2023-05-02T06:14:25Z</vt:lpwstr>
  </property>
  <property fmtid="{D5CDD505-2E9C-101B-9397-08002B2CF9AE}" pid="4" name="MSIP_Label_d2db9220-a04a-4f06-aab9-80cbe5287fb3_Method">
    <vt:lpwstr>Standard</vt:lpwstr>
  </property>
  <property fmtid="{D5CDD505-2E9C-101B-9397-08002B2CF9AE}" pid="5" name="MSIP_Label_d2db9220-a04a-4f06-aab9-80cbe5287fb3_Name">
    <vt:lpwstr>d2db9220-a04a-4f06-aab9-80cbe5287fb3</vt:lpwstr>
  </property>
  <property fmtid="{D5CDD505-2E9C-101B-9397-08002B2CF9AE}" pid="6" name="MSIP_Label_d2db9220-a04a-4f06-aab9-80cbe5287fb3_SiteId">
    <vt:lpwstr>b3f4f7c2-72ce-4192-aba4-d6c7719b5766</vt:lpwstr>
  </property>
  <property fmtid="{D5CDD505-2E9C-101B-9397-08002B2CF9AE}" pid="7" name="MSIP_Label_d2db9220-a04a-4f06-aab9-80cbe5287fb3_ActionId">
    <vt:lpwstr>d9503114-44b0-45d0-aade-646cf0babb77</vt:lpwstr>
  </property>
  <property fmtid="{D5CDD505-2E9C-101B-9397-08002B2CF9AE}" pid="8" name="MSIP_Label_d2db9220-a04a-4f06-aab9-80cbe5287fb3_ContentBits">
    <vt:lpwstr>1</vt:lpwstr>
  </property>
</Properties>
</file>